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Загрузки\"/>
    </mc:Choice>
  </mc:AlternateContent>
  <xr:revisionPtr revIDLastSave="0" documentId="13_ncr:1_{41FF3B23-4197-474C-88F5-A16597EE8402}" xr6:coauthVersionLast="45" xr6:coauthVersionMax="45" xr10:uidLastSave="{00000000-0000-0000-0000-000000000000}"/>
  <bookViews>
    <workbookView xWindow="-120" yWindow="-120" windowWidth="29040" windowHeight="15720" activeTab="1" xr2:uid="{00000000-000D-0000-FFFF-FFFF00000000}"/>
  </bookViews>
  <sheets>
    <sheet name="Сум" sheetId="1" r:id="rId1"/>
    <sheet name="Микдор" sheetId="2" r:id="rId2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L6" i="2" l="1"/>
  <c r="K6" i="2"/>
  <c r="J6" i="2"/>
  <c r="I6" i="2"/>
  <c r="H6" i="2"/>
  <c r="G6" i="2"/>
  <c r="F6" i="2"/>
  <c r="E6" i="2"/>
  <c r="C23" i="1"/>
  <c r="C22" i="1"/>
  <c r="C21" i="1"/>
</calcChain>
</file>

<file path=xl/sharedStrings.xml><?xml version="1.0" encoding="utf-8"?>
<sst xmlns="http://schemas.openxmlformats.org/spreadsheetml/2006/main" count="96" uniqueCount="41">
  <si>
    <t>Sana</t>
  </si>
  <si>
    <t>Tur</t>
  </si>
  <si>
    <t>Mahsulot/Kategoriya</t>
  </si>
  <si>
    <t>Miqdor</t>
  </si>
  <si>
    <t>Summa</t>
  </si>
  <si>
    <t>Hujjat</t>
  </si>
  <si>
    <t>2026-08-22 08:47:48</t>
  </si>
  <si>
    <t>Chiqim</t>
  </si>
  <si>
    <t>Coca Cola 1.5L</t>
  </si>
  <si>
    <t>CHK-000004</t>
  </si>
  <si>
    <t>Pepsi 1.5L</t>
  </si>
  <si>
    <t>Non</t>
  </si>
  <si>
    <t>Батарейка "СОНИ"</t>
  </si>
  <si>
    <t>2026-08-19 16:48:07</t>
  </si>
  <si>
    <t>Kirim</t>
  </si>
  <si>
    <t>Степлер уки</t>
  </si>
  <si>
    <t>IN-000001</t>
  </si>
  <si>
    <t>2026-08-19 16:33:52</t>
  </si>
  <si>
    <t>CHK-000003</t>
  </si>
  <si>
    <t>Shampun</t>
  </si>
  <si>
    <t>2026-08-19 16:33:16</t>
  </si>
  <si>
    <t>CHK-000002</t>
  </si>
  <si>
    <t>2026-08-19 15:53:54</t>
  </si>
  <si>
    <t>CHK-000001</t>
  </si>
  <si>
    <t>Finex-hisobot №</t>
  </si>
  <si>
    <t>00001</t>
  </si>
  <si>
    <t>YANGI BOZOR</t>
  </si>
  <si>
    <t>hisobot davri boshlanishi</t>
  </si>
  <si>
    <t>hisobot davri tugashi</t>
  </si>
  <si>
    <t>Davr boshidagi qoldiq:</t>
  </si>
  <si>
    <t>Hisobot davrida kirim:</t>
  </si>
  <si>
    <t>Hisobot davrida chiqim:</t>
  </si>
  <si>
    <t>№</t>
  </si>
  <si>
    <t>Tovarlar nomi</t>
  </si>
  <si>
    <t>Do'kon nomi</t>
  </si>
  <si>
    <t>O'lchov birligi</t>
  </si>
  <si>
    <t>Narxi</t>
  </si>
  <si>
    <t>Davr boshiga qoldiq</t>
  </si>
  <si>
    <t>Davr oxiriga qoldiq</t>
  </si>
  <si>
    <t>Jami</t>
  </si>
  <si>
    <t>Do'kon mudiri _________________________________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</si>
</sst>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right"/>
    </xf>
    <xf numFmtId="14" fontId="0" fillId="0" borderId="0" xfId="0" applyNumberFormat="1"/>
    <xf numFmtId="49" fontId="16" fillId="0" borderId="0" xfId="0" applyNumberFormat="1" applyFont="1"/>
    <xf numFmtId="0" fontId="16" fillId="0" borderId="0" xfId="0" applyFont="1"/>
    <xf numFmtId="0" fontId="0" fillId="0" borderId="10" xfId="0" applyBorder="1"/>
    <xf numFmtId="43" fontId="0" fillId="0" borderId="0" xfId="1" applyFont="1"/>
    <xf numFmtId="43" fontId="0" fillId="0" borderId="10" xfId="1" applyFont="1" applyBorder="1"/>
    <xf numFmtId="0" fontId="0" fillId="33" borderId="10" xfId="0" applyFill="1" applyBorder="1" applyAlignment="1">
      <alignment horizontal="center"/>
    </xf>
    <xf numFmtId="43" fontId="0" fillId="33" borderId="10" xfId="1" applyFont="1" applyFill="1" applyBorder="1" applyAlignment="1">
      <alignment horizontal="center"/>
    </xf>
    <xf numFmtId="0" fontId="0" fillId="34" borderId="10" xfId="0" applyFill="1" applyBorder="1" applyAlignment="1">
      <alignment horizontal="center" vertical="center"/>
    </xf>
    <xf numFmtId="0" fontId="0" fillId="33" borderId="11" xfId="0" applyFill="1" applyBorder="1" applyAlignment="1">
      <alignment horizontal="center"/>
    </xf>
    <xf numFmtId="0" fontId="0" fillId="33" borderId="12" xfId="0" applyFill="1" applyBorder="1" applyAlignment="1">
      <alignment horizontal="center"/>
    </xf>
    <xf numFmtId="0" fontId="0" fillId="33" borderId="13" xfId="0" applyFill="1" applyBorder="1" applyAlignment="1">
      <alignment horizontal="center"/>
    </xf>
    <xf numFmtId="0" fontId="0" fillId="34" borderId="10" xfId="0" applyFill="1" applyBorder="1" applyAlignment="1">
      <alignment horizontal="center" vertical="center" wrapText="1"/>
    </xf>
    <xf numFmtId="0" fontId="0" fillId="33" borderId="10" xfId="0" applyFill="1" applyBorder="1" applyAlignment="1">
      <alignment horizontal="center" vertical="center"/>
    </xf>
  </cellXfs>
  <cellStyles count="43">
    <cellStyle name="20% — акцент1" xfId="20" builtinId="30" customBuiltin="1"/>
    <cellStyle name="20% — акцент2" xfId="24" builtinId="34" customBuiltin="1"/>
    <cellStyle name="20% — акцент3" xfId="28" builtinId="38" customBuiltin="1"/>
    <cellStyle name="20% — акцент4" xfId="32" builtinId="42" customBuiltin="1"/>
    <cellStyle name="20% — акцент5" xfId="36" builtinId="46" customBuiltin="1"/>
    <cellStyle name="20% — акцент6" xfId="40" builtinId="50" customBuiltin="1"/>
    <cellStyle name="40% — акцент1" xfId="21" builtinId="31" customBuiltin="1"/>
    <cellStyle name="40% — акцент2" xfId="25" builtinId="35" customBuiltin="1"/>
    <cellStyle name="40% — акцент3" xfId="29" builtinId="39" customBuiltin="1"/>
    <cellStyle name="40% — акцент4" xfId="33" builtinId="43" customBuiltin="1"/>
    <cellStyle name="40% — акцент5" xfId="37" builtinId="47" customBuiltin="1"/>
    <cellStyle name="40% — акцент6" xfId="41" builtinId="51" customBuiltin="1"/>
    <cellStyle name="60% — акцент1" xfId="22" builtinId="32" customBuiltin="1"/>
    <cellStyle name="60% — акцент2" xfId="26" builtinId="36" customBuiltin="1"/>
    <cellStyle name="60% — акцент3" xfId="30" builtinId="40" customBuiltin="1"/>
    <cellStyle name="60% — акцент4" xfId="34" builtinId="44" customBuiltin="1"/>
    <cellStyle name="60% — акцент5" xfId="38" builtinId="48" customBuiltin="1"/>
    <cellStyle name="60% — акцент6" xfId="42" builtinId="52" customBuiltin="1"/>
    <cellStyle name="Акцент1" xfId="19" builtinId="29" customBuiltin="1"/>
    <cellStyle name="Акцент2" xfId="23" builtinId="33" customBuiltin="1"/>
    <cellStyle name="Акцент3" xfId="27" builtinId="37" customBuiltin="1"/>
    <cellStyle name="Акцент4" xfId="31" builtinId="41" customBuiltin="1"/>
    <cellStyle name="Акцент5" xfId="35" builtinId="45" customBuiltin="1"/>
    <cellStyle name="Акцент6" xfId="39" builtinId="49" customBuiltin="1"/>
    <cellStyle name="Ввод " xfId="10" builtinId="20" customBuiltin="1"/>
    <cellStyle name="Вывод" xfId="11" builtinId="21" customBuiltin="1"/>
    <cellStyle name="Вычисление" xfId="12" builtinId="22" customBuiltin="1"/>
    <cellStyle name="Заголовок 1" xfId="3" builtinId="16" customBuiltin="1"/>
    <cellStyle name="Заголовок 2" xfId="4" builtinId="17" customBuiltin="1"/>
    <cellStyle name="Заголовок 3" xfId="5" builtinId="18" customBuiltin="1"/>
    <cellStyle name="Заголовок 4" xfId="6" builtinId="19" customBuiltin="1"/>
    <cellStyle name="Итог" xfId="18" builtinId="25" customBuiltin="1"/>
    <cellStyle name="Контрольная ячейка" xfId="14" builtinId="23" customBuiltin="1"/>
    <cellStyle name="Название" xfId="2" builtinId="15" customBuiltin="1"/>
    <cellStyle name="Нейтральный" xfId="9" builtinId="28" customBuiltin="1"/>
    <cellStyle name="Обычный" xfId="0" builtinId="0"/>
    <cellStyle name="Плохой" xfId="8" builtinId="27" customBuiltin="1"/>
    <cellStyle name="Пояснение" xfId="17" builtinId="53" customBuiltin="1"/>
    <cellStyle name="Примечание" xfId="16" builtinId="10" customBuiltin="1"/>
    <cellStyle name="Связанная ячейка" xfId="13" builtinId="24" customBuiltin="1"/>
    <cellStyle name="Текст предупреждения" xfId="15" builtinId="11" customBuiltin="1"/>
    <cellStyle name="Финансовый" xfId="1" builtinId="3"/>
    <cellStyle name="Хороший" xfId="7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47625</xdr:rowOff>
    </xdr:from>
    <xdr:to>
      <xdr:col>0</xdr:col>
      <xdr:colOff>1371596</xdr:colOff>
      <xdr:row>2</xdr:row>
      <xdr:rowOff>123824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BA0762E4-E4D1-4A82-8059-CC12A1A18B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7625"/>
          <a:ext cx="1371596" cy="4571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104776</xdr:rowOff>
    </xdr:from>
    <xdr:to>
      <xdr:col>1</xdr:col>
      <xdr:colOff>962025</xdr:colOff>
      <xdr:row>1</xdr:row>
      <xdr:rowOff>276226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88A64D62-F480-4FE7-AA19-8F867FB2FF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4776"/>
          <a:ext cx="1600200" cy="533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"/>
  <sheetViews>
    <sheetView workbookViewId="0">
      <selection activeCell="I19" sqref="I19"/>
    </sheetView>
  </sheetViews>
  <sheetFormatPr defaultRowHeight="15" x14ac:dyDescent="0.25"/>
  <cols>
    <col min="1" max="1" width="23.28515625" customWidth="1"/>
    <col min="2" max="2" width="12" customWidth="1"/>
    <col min="3" max="3" width="19.85546875" customWidth="1"/>
    <col min="4" max="4" width="12.140625" customWidth="1"/>
    <col min="5" max="5" width="12.85546875" customWidth="1"/>
    <col min="6" max="6" width="19" customWidth="1"/>
  </cols>
  <sheetData>
    <row r="1" spans="1:6" x14ac:dyDescent="0.25">
      <c r="B1" s="1" t="s">
        <v>24</v>
      </c>
      <c r="C1" s="3" t="s">
        <v>25</v>
      </c>
      <c r="D1" s="1"/>
      <c r="E1" s="1" t="s">
        <v>27</v>
      </c>
      <c r="F1" s="2">
        <v>46235</v>
      </c>
    </row>
    <row r="2" spans="1:6" x14ac:dyDescent="0.25">
      <c r="B2" s="1" t="s">
        <v>34</v>
      </c>
      <c r="C2" s="3" t="s">
        <v>26</v>
      </c>
      <c r="D2" s="1"/>
      <c r="E2" s="1" t="s">
        <v>28</v>
      </c>
      <c r="F2" s="2">
        <v>46256</v>
      </c>
    </row>
    <row r="4" spans="1:6" ht="27.75" customHeight="1" x14ac:dyDescent="0.25">
      <c r="A4" s="15" t="s">
        <v>0</v>
      </c>
      <c r="B4" s="15" t="s">
        <v>1</v>
      </c>
      <c r="C4" s="15" t="s">
        <v>2</v>
      </c>
      <c r="D4" s="15" t="s">
        <v>3</v>
      </c>
      <c r="E4" s="15" t="s">
        <v>4</v>
      </c>
      <c r="F4" s="15" t="s">
        <v>5</v>
      </c>
    </row>
    <row r="5" spans="1:6" x14ac:dyDescent="0.25">
      <c r="A5" s="5" t="s">
        <v>6</v>
      </c>
      <c r="B5" s="5" t="s">
        <v>7</v>
      </c>
      <c r="C5" s="5" t="s">
        <v>8</v>
      </c>
      <c r="D5" s="5">
        <v>4</v>
      </c>
      <c r="E5" s="7">
        <v>48000</v>
      </c>
      <c r="F5" s="5" t="s">
        <v>9</v>
      </c>
    </row>
    <row r="6" spans="1:6" x14ac:dyDescent="0.25">
      <c r="A6" s="5" t="s">
        <v>6</v>
      </c>
      <c r="B6" s="5" t="s">
        <v>7</v>
      </c>
      <c r="C6" s="5" t="s">
        <v>10</v>
      </c>
      <c r="D6" s="5">
        <v>2</v>
      </c>
      <c r="E6" s="7">
        <v>23000</v>
      </c>
      <c r="F6" s="5" t="s">
        <v>9</v>
      </c>
    </row>
    <row r="7" spans="1:6" x14ac:dyDescent="0.25">
      <c r="A7" s="5" t="s">
        <v>6</v>
      </c>
      <c r="B7" s="5" t="s">
        <v>7</v>
      </c>
      <c r="C7" s="5" t="s">
        <v>11</v>
      </c>
      <c r="D7" s="5">
        <v>4</v>
      </c>
      <c r="E7" s="7">
        <v>16000</v>
      </c>
      <c r="F7" s="5" t="s">
        <v>9</v>
      </c>
    </row>
    <row r="8" spans="1:6" x14ac:dyDescent="0.25">
      <c r="A8" s="5" t="s">
        <v>6</v>
      </c>
      <c r="B8" s="5" t="s">
        <v>7</v>
      </c>
      <c r="C8" s="5" t="s">
        <v>12</v>
      </c>
      <c r="D8" s="5">
        <v>1</v>
      </c>
      <c r="E8" s="7">
        <v>10000</v>
      </c>
      <c r="F8" s="5" t="s">
        <v>9</v>
      </c>
    </row>
    <row r="9" spans="1:6" x14ac:dyDescent="0.25">
      <c r="A9" s="5" t="s">
        <v>13</v>
      </c>
      <c r="B9" s="5" t="s">
        <v>14</v>
      </c>
      <c r="C9" s="5" t="s">
        <v>15</v>
      </c>
      <c r="D9" s="5">
        <v>500</v>
      </c>
      <c r="E9" s="7">
        <v>6000000</v>
      </c>
      <c r="F9" s="5" t="s">
        <v>16</v>
      </c>
    </row>
    <row r="10" spans="1:6" x14ac:dyDescent="0.25">
      <c r="A10" s="5" t="s">
        <v>17</v>
      </c>
      <c r="B10" s="5" t="s">
        <v>7</v>
      </c>
      <c r="C10" s="5" t="s">
        <v>11</v>
      </c>
      <c r="D10" s="5">
        <v>2</v>
      </c>
      <c r="E10" s="7">
        <v>8000</v>
      </c>
      <c r="F10" s="5" t="s">
        <v>18</v>
      </c>
    </row>
    <row r="11" spans="1:6" x14ac:dyDescent="0.25">
      <c r="A11" s="5" t="s">
        <v>17</v>
      </c>
      <c r="B11" s="5" t="s">
        <v>7</v>
      </c>
      <c r="C11" s="5" t="s">
        <v>10</v>
      </c>
      <c r="D11" s="5">
        <v>1</v>
      </c>
      <c r="E11" s="7">
        <v>11500</v>
      </c>
      <c r="F11" s="5" t="s">
        <v>18</v>
      </c>
    </row>
    <row r="12" spans="1:6" x14ac:dyDescent="0.25">
      <c r="A12" s="5" t="s">
        <v>17</v>
      </c>
      <c r="B12" s="5" t="s">
        <v>7</v>
      </c>
      <c r="C12" s="5" t="s">
        <v>19</v>
      </c>
      <c r="D12" s="5">
        <v>2</v>
      </c>
      <c r="E12" s="7">
        <v>50000</v>
      </c>
      <c r="F12" s="5" t="s">
        <v>18</v>
      </c>
    </row>
    <row r="13" spans="1:6" x14ac:dyDescent="0.25">
      <c r="A13" s="5" t="s">
        <v>17</v>
      </c>
      <c r="B13" s="5" t="s">
        <v>7</v>
      </c>
      <c r="C13" s="5" t="s">
        <v>8</v>
      </c>
      <c r="D13" s="5">
        <v>2</v>
      </c>
      <c r="E13" s="7">
        <v>24000</v>
      </c>
      <c r="F13" s="5" t="s">
        <v>18</v>
      </c>
    </row>
    <row r="14" spans="1:6" x14ac:dyDescent="0.25">
      <c r="A14" s="5" t="s">
        <v>20</v>
      </c>
      <c r="B14" s="5" t="s">
        <v>7</v>
      </c>
      <c r="C14" s="5" t="s">
        <v>15</v>
      </c>
      <c r="D14" s="5">
        <v>5</v>
      </c>
      <c r="E14" s="7">
        <v>50000</v>
      </c>
      <c r="F14" s="5" t="s">
        <v>21</v>
      </c>
    </row>
    <row r="15" spans="1:6" x14ac:dyDescent="0.25">
      <c r="A15" s="5" t="s">
        <v>22</v>
      </c>
      <c r="B15" s="5" t="s">
        <v>7</v>
      </c>
      <c r="C15" s="5" t="s">
        <v>8</v>
      </c>
      <c r="D15" s="5">
        <v>1</v>
      </c>
      <c r="E15" s="7">
        <v>12000</v>
      </c>
      <c r="F15" s="5" t="s">
        <v>23</v>
      </c>
    </row>
    <row r="16" spans="1:6" x14ac:dyDescent="0.25">
      <c r="A16" s="5" t="s">
        <v>22</v>
      </c>
      <c r="B16" s="5" t="s">
        <v>7</v>
      </c>
      <c r="C16" s="5" t="s">
        <v>11</v>
      </c>
      <c r="D16" s="5">
        <v>1</v>
      </c>
      <c r="E16" s="7">
        <v>4000</v>
      </c>
      <c r="F16" s="5" t="s">
        <v>23</v>
      </c>
    </row>
    <row r="17" spans="1:6" x14ac:dyDescent="0.25">
      <c r="A17" s="5" t="s">
        <v>22</v>
      </c>
      <c r="B17" s="5" t="s">
        <v>7</v>
      </c>
      <c r="C17" s="5" t="s">
        <v>10</v>
      </c>
      <c r="D17" s="5">
        <v>1</v>
      </c>
      <c r="E17" s="7">
        <v>11500</v>
      </c>
      <c r="F17" s="5" t="s">
        <v>23</v>
      </c>
    </row>
    <row r="18" spans="1:6" x14ac:dyDescent="0.25">
      <c r="A18" s="5" t="s">
        <v>22</v>
      </c>
      <c r="B18" s="5" t="s">
        <v>7</v>
      </c>
      <c r="C18" s="5" t="s">
        <v>19</v>
      </c>
      <c r="D18" s="5">
        <v>1</v>
      </c>
      <c r="E18" s="7">
        <v>25000</v>
      </c>
      <c r="F18" s="5" t="s">
        <v>23</v>
      </c>
    </row>
    <row r="20" spans="1:6" x14ac:dyDescent="0.25">
      <c r="A20" t="s">
        <v>29</v>
      </c>
      <c r="C20" s="6">
        <v>0</v>
      </c>
    </row>
    <row r="21" spans="1:6" x14ac:dyDescent="0.25">
      <c r="A21" t="s">
        <v>30</v>
      </c>
      <c r="C21" s="6">
        <f>+E9</f>
        <v>6000000</v>
      </c>
    </row>
    <row r="22" spans="1:6" x14ac:dyDescent="0.25">
      <c r="A22" t="s">
        <v>31</v>
      </c>
      <c r="C22" s="6">
        <f>+E5+E6+E7+E8+E10+E11+E12+E13+E14+E15+E16+E17+E18</f>
        <v>293000</v>
      </c>
    </row>
    <row r="23" spans="1:6" x14ac:dyDescent="0.25">
      <c r="A23" t="s">
        <v>29</v>
      </c>
      <c r="C23" s="6">
        <f>+C20+C21-C22</f>
        <v>5707000</v>
      </c>
    </row>
  </sheetData>
  <pageMargins left="0.7" right="0.7" top="0.75" bottom="0.75" header="0.3" footer="0.3"/>
  <pageSetup paperSize="9" orientation="portrait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F518D-7329-4D31-A0EA-94AA01DA4BE9}">
  <dimension ref="A1:L35"/>
  <sheetViews>
    <sheetView tabSelected="1" workbookViewId="0">
      <selection activeCell="E14" sqref="E14"/>
    </sheetView>
  </sheetViews>
  <sheetFormatPr defaultRowHeight="15" x14ac:dyDescent="0.25"/>
  <cols>
    <col min="1" max="1" width="9.5703125" customWidth="1"/>
    <col min="2" max="2" width="31.140625" customWidth="1"/>
    <col min="3" max="3" width="11" customWidth="1"/>
    <col min="4" max="4" width="9.5703125" customWidth="1"/>
    <col min="5" max="5" width="12.140625" customWidth="1"/>
    <col min="6" max="6" width="16.5703125" customWidth="1"/>
    <col min="7" max="7" width="12" customWidth="1"/>
    <col min="8" max="8" width="16.5703125" customWidth="1"/>
    <col min="9" max="9" width="12.7109375" customWidth="1"/>
    <col min="10" max="10" width="16.5703125" customWidth="1"/>
    <col min="11" max="11" width="12.28515625" customWidth="1"/>
    <col min="12" max="12" width="16.5703125" customWidth="1"/>
  </cols>
  <sheetData>
    <row r="1" spans="1:12" ht="28.5" customHeight="1" x14ac:dyDescent="0.25">
      <c r="B1" s="1" t="s">
        <v>24</v>
      </c>
      <c r="C1" s="3" t="s">
        <v>25</v>
      </c>
      <c r="D1" s="3"/>
      <c r="F1" s="1"/>
      <c r="G1" s="1" t="s">
        <v>27</v>
      </c>
      <c r="H1" s="2">
        <v>46235</v>
      </c>
    </row>
    <row r="2" spans="1:12" ht="28.5" customHeight="1" x14ac:dyDescent="0.25">
      <c r="B2" s="1" t="s">
        <v>34</v>
      </c>
      <c r="C2" s="3" t="s">
        <v>26</v>
      </c>
      <c r="D2" s="3"/>
      <c r="E2" s="4"/>
      <c r="F2" s="1"/>
      <c r="G2" s="1" t="s">
        <v>28</v>
      </c>
      <c r="H2" s="2">
        <v>46256</v>
      </c>
    </row>
    <row r="3" spans="1:12" x14ac:dyDescent="0.25">
      <c r="A3" s="10" t="s">
        <v>32</v>
      </c>
      <c r="B3" s="10" t="s">
        <v>33</v>
      </c>
      <c r="C3" s="14" t="s">
        <v>35</v>
      </c>
      <c r="D3" s="10" t="s">
        <v>36</v>
      </c>
      <c r="E3" s="10" t="s">
        <v>37</v>
      </c>
      <c r="F3" s="10"/>
      <c r="G3" s="10" t="s">
        <v>14</v>
      </c>
      <c r="H3" s="10"/>
      <c r="I3" s="10" t="s">
        <v>7</v>
      </c>
      <c r="J3" s="10"/>
      <c r="K3" s="10" t="s">
        <v>38</v>
      </c>
      <c r="L3" s="10"/>
    </row>
    <row r="4" spans="1:12" x14ac:dyDescent="0.25">
      <c r="A4" s="10"/>
      <c r="B4" s="10"/>
      <c r="C4" s="14"/>
      <c r="D4" s="10"/>
      <c r="E4" s="10" t="s">
        <v>3</v>
      </c>
      <c r="F4" s="10" t="s">
        <v>4</v>
      </c>
      <c r="G4" s="10" t="s">
        <v>3</v>
      </c>
      <c r="H4" s="10" t="s">
        <v>4</v>
      </c>
      <c r="I4" s="10" t="s">
        <v>3</v>
      </c>
      <c r="J4" s="10" t="s">
        <v>4</v>
      </c>
      <c r="K4" s="10" t="s">
        <v>3</v>
      </c>
      <c r="L4" s="10" t="s">
        <v>4</v>
      </c>
    </row>
    <row r="5" spans="1:12" x14ac:dyDescent="0.25">
      <c r="A5" s="10"/>
      <c r="B5" s="10"/>
      <c r="C5" s="14"/>
      <c r="D5" s="10"/>
      <c r="E5" s="10"/>
      <c r="F5" s="10"/>
      <c r="G5" s="10"/>
      <c r="H5" s="10"/>
      <c r="I5" s="10"/>
      <c r="J5" s="10"/>
      <c r="K5" s="10"/>
      <c r="L5" s="10"/>
    </row>
    <row r="6" spans="1:12" x14ac:dyDescent="0.25">
      <c r="A6" s="11" t="s">
        <v>39</v>
      </c>
      <c r="B6" s="12"/>
      <c r="C6" s="12"/>
      <c r="D6" s="13"/>
      <c r="E6" s="8">
        <f>SUM(E7:E177)</f>
        <v>0</v>
      </c>
      <c r="F6" s="9">
        <f t="shared" ref="F6:L6" si="0">SUM(F7:F177)</f>
        <v>0</v>
      </c>
      <c r="G6" s="8">
        <f t="shared" si="0"/>
        <v>0</v>
      </c>
      <c r="H6" s="9">
        <f t="shared" si="0"/>
        <v>0</v>
      </c>
      <c r="I6" s="8">
        <f t="shared" si="0"/>
        <v>0</v>
      </c>
      <c r="J6" s="9">
        <f t="shared" si="0"/>
        <v>0</v>
      </c>
      <c r="K6" s="8">
        <f t="shared" si="0"/>
        <v>0</v>
      </c>
      <c r="L6" s="9">
        <f t="shared" si="0"/>
        <v>0</v>
      </c>
    </row>
    <row r="7" spans="1:12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</row>
    <row r="8" spans="1:12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</row>
    <row r="9" spans="1:12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</row>
    <row r="10" spans="1:12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</row>
    <row r="11" spans="1:12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</row>
    <row r="12" spans="1:12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</row>
    <row r="13" spans="1:12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x14ac:dyDescent="0.2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spans="1:12" x14ac:dyDescent="0.2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</row>
    <row r="16" spans="1:12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</row>
    <row r="17" spans="1:12" x14ac:dyDescent="0.2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2" x14ac:dyDescent="0.2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2" x14ac:dyDescent="0.2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 spans="1:12" x14ac:dyDescent="0.2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2" x14ac:dyDescent="0.2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2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</row>
    <row r="23" spans="1:12" x14ac:dyDescent="0.2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</row>
    <row r="24" spans="1:12" x14ac:dyDescent="0.2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spans="1:12" x14ac:dyDescent="0.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</row>
    <row r="26" spans="1:12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</row>
    <row r="27" spans="1:12" x14ac:dyDescent="0.2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</row>
    <row r="28" spans="1:12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</row>
    <row r="29" spans="1:12" x14ac:dyDescent="0.2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</row>
    <row r="30" spans="1:12" x14ac:dyDescent="0.2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</row>
    <row r="31" spans="1:12" x14ac:dyDescent="0.2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</row>
    <row r="32" spans="1:12" x14ac:dyDescent="0.2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</row>
    <row r="33" spans="1:12" x14ac:dyDescent="0.2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</row>
    <row r="35" spans="1:12" x14ac:dyDescent="0.25">
      <c r="B35" t="s">
        <v>40</v>
      </c>
    </row>
  </sheetData>
  <mergeCells count="17">
    <mergeCell ref="G3:H3"/>
    <mergeCell ref="I3:J3"/>
    <mergeCell ref="A6:D6"/>
    <mergeCell ref="K3:L3"/>
    <mergeCell ref="D3:D5"/>
    <mergeCell ref="E4:E5"/>
    <mergeCell ref="F4:F5"/>
    <mergeCell ref="G4:G5"/>
    <mergeCell ref="H4:H5"/>
    <mergeCell ref="I4:I5"/>
    <mergeCell ref="J4:J5"/>
    <mergeCell ref="K4:K5"/>
    <mergeCell ref="L4:L5"/>
    <mergeCell ref="A3:A5"/>
    <mergeCell ref="B3:B5"/>
    <mergeCell ref="C3:C5"/>
    <mergeCell ref="E3:F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Сум</vt:lpstr>
      <vt:lpstr>Микдор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modified xsi:type="dcterms:W3CDTF">2026-08-22T10:07:53Z</dcterms:modified>
</cp:coreProperties>
</file>